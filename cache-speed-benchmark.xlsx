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git\VeryBigProject\"/>
    </mc:Choice>
  </mc:AlternateContent>
  <xr:revisionPtr revIDLastSave="0" documentId="8_{67424176-303F-479B-B781-2C8FCAF83BF2}" xr6:coauthVersionLast="47" xr6:coauthVersionMax="47" xr10:uidLastSave="{00000000-0000-0000-0000-000000000000}"/>
  <bookViews>
    <workbookView xWindow="-108" yWindow="-108" windowWidth="23256" windowHeight="12456" xr2:uid="{96C7E67E-D8A7-4704-8D3F-82319C6ED9F2}"/>
  </bookViews>
  <sheets>
    <sheet name="Summary" sheetId="1" r:id="rId1"/>
    <sheet name="Raw samples" sheetId="2" r:id="rId2"/>
    <sheet name="Metho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B9" i="1"/>
</calcChain>
</file>

<file path=xl/sharedStrings.xml><?xml version="1.0" encoding="utf-8"?>
<sst xmlns="http://schemas.openxmlformats.org/spreadsheetml/2006/main" count="67" uniqueCount="41">
  <si>
    <t>GrpcServer cache speed benchmark</t>
  </si>
  <si>
    <t>Average response time per endpoint (ms), 7 requests each, steady-state (cache warmed). Lower = faster.</t>
  </si>
  <si>
    <t>Endpoint</t>
  </si>
  <si>
    <t>Redis (ms)</t>
  </si>
  <si>
    <t>Memory (ms)</t>
  </si>
  <si>
    <t>No cache (ms)</t>
  </si>
  <si>
    <t>Redis vs none</t>
  </si>
  <si>
    <t>Memory vs none</t>
  </si>
  <si>
    <t>Fastest</t>
  </si>
  <si>
    <t>GET /api/product (list, 205 items)</t>
  </si>
  <si>
    <t>Memory</t>
  </si>
  <si>
    <t>GET /api/product/{id}</t>
  </si>
  <si>
    <t>Redis</t>
  </si>
  <si>
    <t>GET /api/productrule (list)</t>
  </si>
  <si>
    <t>GET /api/productrule/evaluate/{id}</t>
  </si>
  <si>
    <t>Average (all endpoints)</t>
  </si>
  <si>
    <t>Raw per-request timings (ms) вЂ” 7 requests per endpoint per backend</t>
  </si>
  <si>
    <t>Backend</t>
  </si>
  <si>
    <t>req1</t>
  </si>
  <si>
    <t>req2</t>
  </si>
  <si>
    <t>req3</t>
  </si>
  <si>
    <t>req4</t>
  </si>
  <si>
    <t>req5</t>
  </si>
  <si>
    <t>req6</t>
  </si>
  <si>
    <t>req7</t>
  </si>
  <si>
    <t>avg</t>
  </si>
  <si>
    <t>min</t>
  </si>
  <si>
    <t>max</t>
  </si>
  <si>
    <t>No cache</t>
  </si>
  <si>
    <t>Methodology</t>
  </si>
  <si>
    <t>Backends compared (Cache:Provider): Redis (StackExchange, redis:7-alpine), Memory (IMemoryCache), None (no caching, DB every call).</t>
  </si>
  <si>
    <t>Host: GrpcServer .NET 8, Release build, ASPNETCORE_ENVIRONMENT=Production, REST on 127.0.0.1:5002.</t>
  </si>
  <si>
    <t>Infra: PostgreSQL (product.database), Redis, RabbitMQ via docker-compose. 205 products / 4 rules seeded.</t>
  </si>
  <si>
    <t>Client: single reused System.Net.Http.HttpClient (keep-alive). Connection warmed before timing; 7 timed requests per endpoint.</t>
  </si>
  <si>
    <t>For Redis/Memory the 7 requests are cache HITS (cache pre-warmed) вЂ” steady-state read latency.</t>
  </si>
  <si>
    <t>For None every request hits PostgreSQL.</t>
  </si>
  <si>
    <t>Timing = full round-trip (send -&gt; body read) measured with Stopwatch, milliseconds.</t>
  </si>
  <si>
    <t>Note: a fixed ~340 ms per-request overhead (Serilog RabbitMQ log sink + pipeline) applies equally to all three backends,</t>
  </si>
  <si>
    <t>so it does not bias the comparison but it does compress the relative cache gain.</t>
  </si>
  <si>
    <t>Note: Product.LastCheckedTime exists in the model but is missing from all EF migrations; column was added manually</t>
  </si>
  <si>
    <t>to the benchmark DB so read queries succeed. This is a pre-existing schema/migration mismatch in the repo.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</si>
</sst>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4270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4" fontId="3" fillId="0" borderId="0" xfId="0" applyNumberFormat="1" applyFont="1"/>
    <xf numFmtId="0" fontId="3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response time by cache backend (ms, lower=better)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Redis (ms)</c:v>
                </c:pt>
              </c:strCache>
            </c:strRef>
          </c:tx>
          <c:invertIfNegative val="0"/>
          <c:cat>
            <c:strRef>
              <c:f>Summary!$A$5:$A$8</c:f>
              <c:strCache>
                <c:ptCount val="4"/>
                <c:pt idx="0">
                  <c:v>GET /api/product (list, 205 items)</c:v>
                </c:pt>
                <c:pt idx="1">
                  <c:v>GET /api/product/{id}</c:v>
                </c:pt>
                <c:pt idx="2">
                  <c:v>GET /api/productrule (list)</c:v>
                </c:pt>
                <c:pt idx="3">
                  <c:v>GET /api/productrule/evaluate/{id}</c:v>
                </c:pt>
              </c:strCache>
            </c:strRef>
          </c:cat>
          <c:val>
            <c:numRef>
              <c:f>Summary!$B$5:$B$8</c:f>
              <c:numCache>
                <c:formatCode>0.0</c:formatCode>
                <c:ptCount val="4"/>
                <c:pt idx="0">
                  <c:v>359.07499999999999</c:v>
                </c:pt>
                <c:pt idx="1">
                  <c:v>348.96800000000002</c:v>
                </c:pt>
                <c:pt idx="2">
                  <c:v>350.18200000000002</c:v>
                </c:pt>
                <c:pt idx="3">
                  <c:v>408.03399999999999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7-4509-A017-3952C284BC6E}"/>
            </c:ext>
          </c:extLst>
        </c:ser>
        <c:ser>
          <c:idx val="1"/>
          <c:order val="1"/>
          <c:tx>
            <c:strRef>
              <c:f>Summary!$C$4</c:f>
              <c:strCache>
                <c:ptCount val="1"/>
                <c:pt idx="0">
                  <c:v>Memory (ms)</c:v>
                </c:pt>
              </c:strCache>
            </c:strRef>
          </c:tx>
          <c:invertIfNegative val="0"/>
          <c:cat>
            <c:strRef>
              <c:f>Summary!$A$5:$A$8</c:f>
              <c:strCache>
                <c:ptCount val="4"/>
                <c:pt idx="0">
                  <c:v>GET /api/product (list, 205 items)</c:v>
                </c:pt>
                <c:pt idx="1">
                  <c:v>GET /api/product/{id}</c:v>
                </c:pt>
                <c:pt idx="2">
                  <c:v>GET /api/productrule (list)</c:v>
                </c:pt>
                <c:pt idx="3">
                  <c:v>GET /api/productrule/evaluate/{id}</c:v>
                </c:pt>
              </c:strCache>
            </c:strRef>
          </c:cat>
          <c:val>
            <c:numRef>
              <c:f>Summary!$C$5:$C$8</c:f>
              <c:numCache>
                <c:formatCode>0.0</c:formatCode>
                <c:ptCount val="4"/>
                <c:pt idx="0">
                  <c:v>344.71300000000002</c:v>
                </c:pt>
                <c:pt idx="1">
                  <c:v>374.90899999999999</c:v>
                </c:pt>
                <c:pt idx="2">
                  <c:v>342.88900000000001</c:v>
                </c:pt>
                <c:pt idx="3">
                  <c:v>396.53699999999998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7-4509-A017-3952C284BC6E}"/>
            </c:ext>
          </c:extLst>
        </c:ser>
        <c:ser>
          <c:idx val="2"/>
          <c:order val="2"/>
          <c:tx>
            <c:strRef>
              <c:f>Summary!$D$4</c:f>
              <c:strCache>
                <c:ptCount val="1"/>
                <c:pt idx="0">
                  <c:v>No cache (ms)</c:v>
                </c:pt>
              </c:strCache>
            </c:strRef>
          </c:tx>
          <c:invertIfNegative val="0"/>
          <c:cat>
            <c:strRef>
              <c:f>Summary!$A$5:$A$8</c:f>
              <c:strCache>
                <c:ptCount val="4"/>
                <c:pt idx="0">
                  <c:v>GET /api/product (list, 205 items)</c:v>
                </c:pt>
                <c:pt idx="1">
                  <c:v>GET /api/product/{id}</c:v>
                </c:pt>
                <c:pt idx="2">
                  <c:v>GET /api/productrule (list)</c:v>
                </c:pt>
                <c:pt idx="3">
                  <c:v>GET /api/productrule/evaluate/{id}</c:v>
                </c:pt>
              </c:strCache>
            </c:strRef>
          </c:cat>
          <c:val>
            <c:numRef>
              <c:f>Summary!$D$5:$D$8</c:f>
              <c:numCache>
                <c:formatCode>0.0</c:formatCode>
                <c:ptCount val="4"/>
                <c:pt idx="0">
                  <c:v>400.81</c:v>
                </c:pt>
                <c:pt idx="1">
                  <c:v>398.11</c:v>
                </c:pt>
                <c:pt idx="2">
                  <c:v>395.85300000000001</c:v>
                </c:pt>
                <c:pt idx="3">
                  <c:v>472.02600000000001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7-4509-A017-3952C284B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678496"/>
        <c:axId val="1188674656"/>
      </c:barChart>
      <c:catAx>
        <c:axId val="118867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8674656"/>
        <c:crosses val="autoZero"/>
        <c:auto val="1"/>
        <c:lblAlgn val="ctr"/>
        <c:lblOffset val="100"/>
        <c:noMultiLvlLbl val="0"/>
      </c:catAx>
      <c:valAx>
        <c:axId val="118867465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188678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11</xdr:row>
      <xdr:rowOff>0</xdr:rowOff>
    </xdr:from>
    <xdr:to>
      <xdr:col>12</xdr:col>
      <xdr:colOff>50800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B0830-D469-49E4-0D23-A0E3BC131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3AEF-17D2-4BC1-A9DD-7273F40C7CD5}">
  <dimension ref="A1:G9"/>
  <sheetViews>
    <sheetView tabSelected="1" workbookViewId="0"/>
  </sheetViews>
  <sheetFormatPr defaultRowHeight="14.4" x14ac:dyDescent="0.3"/>
  <cols>
    <col min="1" max="1" width="34.77734375" customWidth="1"/>
    <col min="2" max="2" width="9.6640625" bestFit="1" customWidth="1"/>
    <col min="3" max="3" width="12.44140625" bestFit="1" customWidth="1"/>
    <col min="4" max="4" width="13.109375" bestFit="1" customWidth="1"/>
    <col min="5" max="5" width="12.44140625" bestFit="1" customWidth="1"/>
    <col min="6" max="6" width="15.33203125" bestFit="1" customWidth="1"/>
    <col min="7" max="7" width="7.88671875" bestFit="1" customWidth="1"/>
  </cols>
  <sheetData>
    <row r="1" spans="1:7" ht="18" x14ac:dyDescent="0.35">
      <c r="A1" s="1" t="s">
        <v>0</v>
      </c>
    </row>
    <row r="2" spans="1:7" x14ac:dyDescent="0.3">
      <c r="A2" s="2" t="s">
        <v>1</v>
      </c>
    </row>
    <row r="4" spans="1:7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3">
      <c r="A5" s="5" t="s">
        <v>9</v>
      </c>
      <c r="B5" s="6">
        <v>359.07499999999999</v>
      </c>
      <c r="C5" s="7">
        <v>344.71300000000002</v>
      </c>
      <c r="D5" s="6">
        <v>400.81</v>
      </c>
      <c r="E5" s="8">
        <v>0.10400000000000001</v>
      </c>
      <c r="F5" s="8">
        <v>0.14000000000000001</v>
      </c>
      <c r="G5" s="5" t="s">
        <v>10</v>
      </c>
    </row>
    <row r="6" spans="1:7" x14ac:dyDescent="0.3">
      <c r="A6" s="5" t="s">
        <v>11</v>
      </c>
      <c r="B6" s="7">
        <v>348.96800000000002</v>
      </c>
      <c r="C6" s="6">
        <v>374.90899999999999</v>
      </c>
      <c r="D6" s="6">
        <v>398.11</v>
      </c>
      <c r="E6" s="8">
        <v>0.12300000000000001</v>
      </c>
      <c r="F6" s="8">
        <v>5.7999999999999996E-2</v>
      </c>
      <c r="G6" s="5" t="s">
        <v>12</v>
      </c>
    </row>
    <row r="7" spans="1:7" x14ac:dyDescent="0.3">
      <c r="A7" s="5" t="s">
        <v>13</v>
      </c>
      <c r="B7" s="6">
        <v>350.18200000000002</v>
      </c>
      <c r="C7" s="7">
        <v>342.88900000000001</v>
      </c>
      <c r="D7" s="6">
        <v>395.85300000000001</v>
      </c>
      <c r="E7" s="8">
        <v>0.115</v>
      </c>
      <c r="F7" s="8">
        <v>0.13400000000000001</v>
      </c>
      <c r="G7" s="5" t="s">
        <v>10</v>
      </c>
    </row>
    <row r="8" spans="1:7" x14ac:dyDescent="0.3">
      <c r="A8" s="5" t="s">
        <v>14</v>
      </c>
      <c r="B8" s="6">
        <v>408.03399999999999</v>
      </c>
      <c r="C8" s="7">
        <v>396.53699999999998</v>
      </c>
      <c r="D8" s="6">
        <v>472.02600000000001</v>
      </c>
      <c r="E8" s="8">
        <v>0.13600000000000001</v>
      </c>
      <c r="F8" s="8">
        <v>0.16</v>
      </c>
      <c r="G8" s="5" t="s">
        <v>10</v>
      </c>
    </row>
    <row r="9" spans="1:7" x14ac:dyDescent="0.3">
      <c r="A9" s="3" t="s">
        <v>15</v>
      </c>
      <c r="B9" s="9">
        <f>AVERAGE(B5:B8)</f>
        <v>366.56475</v>
      </c>
      <c r="C9" s="9">
        <f>AVERAGE(C5:C8)</f>
        <v>364.762</v>
      </c>
      <c r="D9" s="9">
        <f>AVERAGE(D5:D8)</f>
        <v>416.69975000000005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9226-2D71-46DB-A033-315544B9FBF9}">
  <dimension ref="A1:L15"/>
  <sheetViews>
    <sheetView workbookViewId="0"/>
  </sheetViews>
  <sheetFormatPr defaultRowHeight="14.4" x14ac:dyDescent="0.3"/>
  <cols>
    <col min="2" max="2" width="34.77734375" customWidth="1"/>
    <col min="3" max="12" width="5.5546875" bestFit="1" customWidth="1"/>
  </cols>
  <sheetData>
    <row r="1" spans="1:12" x14ac:dyDescent="0.3">
      <c r="A1" s="3" t="s">
        <v>16</v>
      </c>
    </row>
    <row r="3" spans="1:12" x14ac:dyDescent="0.3">
      <c r="A3" s="10" t="s">
        <v>17</v>
      </c>
      <c r="B3" s="10" t="s">
        <v>2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26</v>
      </c>
      <c r="L3" s="10" t="s">
        <v>27</v>
      </c>
    </row>
    <row r="4" spans="1:12" x14ac:dyDescent="0.3">
      <c r="A4" s="5" t="s">
        <v>12</v>
      </c>
      <c r="B4" s="5" t="s">
        <v>9</v>
      </c>
      <c r="C4" s="6">
        <v>394.33199999999999</v>
      </c>
      <c r="D4" s="6">
        <v>336.53800000000001</v>
      </c>
      <c r="E4" s="6">
        <v>351.75</v>
      </c>
      <c r="F4" s="6">
        <v>344.12</v>
      </c>
      <c r="G4" s="6">
        <v>349.26499999999999</v>
      </c>
      <c r="H4" s="6">
        <v>394.05399999999997</v>
      </c>
      <c r="I4" s="6">
        <v>343.46499999999997</v>
      </c>
      <c r="J4" s="6">
        <v>359.07499999999999</v>
      </c>
      <c r="K4" s="6">
        <v>336.53800000000001</v>
      </c>
      <c r="L4" s="6">
        <v>394.33199999999999</v>
      </c>
    </row>
    <row r="5" spans="1:12" x14ac:dyDescent="0.3">
      <c r="A5" s="5" t="s">
        <v>12</v>
      </c>
      <c r="B5" s="5" t="s">
        <v>11</v>
      </c>
      <c r="C5" s="6">
        <v>355.77800000000002</v>
      </c>
      <c r="D5" s="6">
        <v>339.57499999999999</v>
      </c>
      <c r="E5" s="6">
        <v>349.036</v>
      </c>
      <c r="F5" s="6">
        <v>347.25900000000001</v>
      </c>
      <c r="G5" s="6">
        <v>347.23</v>
      </c>
      <c r="H5" s="6">
        <v>356.17599999999999</v>
      </c>
      <c r="I5" s="6">
        <v>347.72399999999999</v>
      </c>
      <c r="J5" s="6">
        <v>348.96800000000002</v>
      </c>
      <c r="K5" s="6">
        <v>339.57499999999999</v>
      </c>
      <c r="L5" s="6">
        <v>356.17599999999999</v>
      </c>
    </row>
    <row r="6" spans="1:12" x14ac:dyDescent="0.3">
      <c r="A6" s="5" t="s">
        <v>12</v>
      </c>
      <c r="B6" s="5" t="s">
        <v>13</v>
      </c>
      <c r="C6" s="6">
        <v>355.928</v>
      </c>
      <c r="D6" s="6">
        <v>347.60500000000002</v>
      </c>
      <c r="E6" s="6">
        <v>355.42</v>
      </c>
      <c r="F6" s="6">
        <v>356.76400000000001</v>
      </c>
      <c r="G6" s="6">
        <v>347.36200000000002</v>
      </c>
      <c r="H6" s="6">
        <v>343.90199999999999</v>
      </c>
      <c r="I6" s="6">
        <v>344.29399999999998</v>
      </c>
      <c r="J6" s="6">
        <v>350.18200000000002</v>
      </c>
      <c r="K6" s="6">
        <v>343.90199999999999</v>
      </c>
      <c r="L6" s="6">
        <v>356.76400000000001</v>
      </c>
    </row>
    <row r="7" spans="1:12" x14ac:dyDescent="0.3">
      <c r="A7" s="5" t="s">
        <v>12</v>
      </c>
      <c r="B7" s="5" t="s">
        <v>14</v>
      </c>
      <c r="C7" s="6">
        <v>403.97899999999998</v>
      </c>
      <c r="D7" s="6">
        <v>408.44900000000001</v>
      </c>
      <c r="E7" s="6">
        <v>408.59800000000001</v>
      </c>
      <c r="F7" s="6">
        <v>420.62700000000001</v>
      </c>
      <c r="G7" s="6">
        <v>407.26400000000001</v>
      </c>
      <c r="H7" s="6">
        <v>408.49200000000002</v>
      </c>
      <c r="I7" s="6">
        <v>398.83100000000002</v>
      </c>
      <c r="J7" s="6">
        <v>408.03399999999999</v>
      </c>
      <c r="K7" s="6">
        <v>398.83100000000002</v>
      </c>
      <c r="L7" s="6">
        <v>420.62700000000001</v>
      </c>
    </row>
    <row r="8" spans="1:12" x14ac:dyDescent="0.3">
      <c r="A8" s="5" t="s">
        <v>10</v>
      </c>
      <c r="B8" s="5" t="s">
        <v>9</v>
      </c>
      <c r="C8" s="6">
        <v>348.11500000000001</v>
      </c>
      <c r="D8" s="6">
        <v>347.26799999999997</v>
      </c>
      <c r="E8" s="6">
        <v>344.65800000000002</v>
      </c>
      <c r="F8" s="6">
        <v>340.012</v>
      </c>
      <c r="G8" s="6">
        <v>342.72300000000001</v>
      </c>
      <c r="H8" s="6">
        <v>344.17700000000002</v>
      </c>
      <c r="I8" s="6">
        <v>346.03800000000001</v>
      </c>
      <c r="J8" s="6">
        <v>344.71300000000002</v>
      </c>
      <c r="K8" s="6">
        <v>340.012</v>
      </c>
      <c r="L8" s="6">
        <v>348.11500000000001</v>
      </c>
    </row>
    <row r="9" spans="1:12" x14ac:dyDescent="0.3">
      <c r="A9" s="5" t="s">
        <v>10</v>
      </c>
      <c r="B9" s="5" t="s">
        <v>11</v>
      </c>
      <c r="C9" s="6">
        <v>360.68700000000001</v>
      </c>
      <c r="D9" s="6">
        <v>360.202</v>
      </c>
      <c r="E9" s="6">
        <v>347.58600000000001</v>
      </c>
      <c r="F9" s="6">
        <v>340.2</v>
      </c>
      <c r="G9" s="6">
        <v>340.43</v>
      </c>
      <c r="H9" s="6">
        <v>432.59699999999998</v>
      </c>
      <c r="I9" s="6">
        <v>442.66</v>
      </c>
      <c r="J9" s="6">
        <v>374.90899999999999</v>
      </c>
      <c r="K9" s="6">
        <v>340.2</v>
      </c>
      <c r="L9" s="6">
        <v>442.66</v>
      </c>
    </row>
    <row r="10" spans="1:12" x14ac:dyDescent="0.3">
      <c r="A10" s="5" t="s">
        <v>10</v>
      </c>
      <c r="B10" s="5" t="s">
        <v>13</v>
      </c>
      <c r="C10" s="6">
        <v>340.44400000000002</v>
      </c>
      <c r="D10" s="6">
        <v>340.34699999999998</v>
      </c>
      <c r="E10" s="6">
        <v>342.72800000000001</v>
      </c>
      <c r="F10" s="6">
        <v>340.40600000000001</v>
      </c>
      <c r="G10" s="6">
        <v>344.92899999999997</v>
      </c>
      <c r="H10" s="6">
        <v>342.99099999999999</v>
      </c>
      <c r="I10" s="6">
        <v>348.37599999999998</v>
      </c>
      <c r="J10" s="6">
        <v>342.88900000000001</v>
      </c>
      <c r="K10" s="6">
        <v>340.34699999999998</v>
      </c>
      <c r="L10" s="6">
        <v>348.37599999999998</v>
      </c>
    </row>
    <row r="11" spans="1:12" x14ac:dyDescent="0.3">
      <c r="A11" s="5" t="s">
        <v>10</v>
      </c>
      <c r="B11" s="5" t="s">
        <v>14</v>
      </c>
      <c r="C11" s="6">
        <v>392.51799999999997</v>
      </c>
      <c r="D11" s="6">
        <v>407.33699999999999</v>
      </c>
      <c r="E11" s="6">
        <v>399.858</v>
      </c>
      <c r="F11" s="6">
        <v>396.26</v>
      </c>
      <c r="G11" s="6">
        <v>388.28699999999998</v>
      </c>
      <c r="H11" s="6">
        <v>387.36900000000003</v>
      </c>
      <c r="I11" s="6">
        <v>404.12700000000001</v>
      </c>
      <c r="J11" s="6">
        <v>396.53699999999998</v>
      </c>
      <c r="K11" s="6">
        <v>387.36900000000003</v>
      </c>
      <c r="L11" s="6">
        <v>407.33699999999999</v>
      </c>
    </row>
    <row r="12" spans="1:12" x14ac:dyDescent="0.3">
      <c r="A12" s="5" t="s">
        <v>28</v>
      </c>
      <c r="B12" s="5" t="s">
        <v>9</v>
      </c>
      <c r="C12" s="6">
        <v>414.33800000000002</v>
      </c>
      <c r="D12" s="6">
        <v>404.09500000000003</v>
      </c>
      <c r="E12" s="6">
        <v>404.29</v>
      </c>
      <c r="F12" s="6">
        <v>395.49200000000002</v>
      </c>
      <c r="G12" s="6">
        <v>411.8</v>
      </c>
      <c r="H12" s="6">
        <v>392.23399999999998</v>
      </c>
      <c r="I12" s="6">
        <v>383.41800000000001</v>
      </c>
      <c r="J12" s="6">
        <v>400.81</v>
      </c>
      <c r="K12" s="6">
        <v>383.41800000000001</v>
      </c>
      <c r="L12" s="6">
        <v>414.33800000000002</v>
      </c>
    </row>
    <row r="13" spans="1:12" x14ac:dyDescent="0.3">
      <c r="A13" s="5" t="s">
        <v>28</v>
      </c>
      <c r="B13" s="5" t="s">
        <v>11</v>
      </c>
      <c r="C13" s="6">
        <v>399.71100000000001</v>
      </c>
      <c r="D13" s="6">
        <v>387.99099999999999</v>
      </c>
      <c r="E13" s="6">
        <v>392.822</v>
      </c>
      <c r="F13" s="6">
        <v>391.08600000000001</v>
      </c>
      <c r="G13" s="6">
        <v>395.64400000000001</v>
      </c>
      <c r="H13" s="6">
        <v>388.274</v>
      </c>
      <c r="I13" s="6">
        <v>431.245</v>
      </c>
      <c r="J13" s="6">
        <v>398.11</v>
      </c>
      <c r="K13" s="6">
        <v>387.99099999999999</v>
      </c>
      <c r="L13" s="6">
        <v>431.245</v>
      </c>
    </row>
    <row r="14" spans="1:12" x14ac:dyDescent="0.3">
      <c r="A14" s="5" t="s">
        <v>28</v>
      </c>
      <c r="B14" s="5" t="s">
        <v>13</v>
      </c>
      <c r="C14" s="6">
        <v>398.73700000000002</v>
      </c>
      <c r="D14" s="6">
        <v>400.22500000000002</v>
      </c>
      <c r="E14" s="6">
        <v>387.65800000000002</v>
      </c>
      <c r="F14" s="6">
        <v>404.65</v>
      </c>
      <c r="G14" s="6">
        <v>395.90300000000002</v>
      </c>
      <c r="H14" s="6">
        <v>395.68</v>
      </c>
      <c r="I14" s="6">
        <v>388.12099999999998</v>
      </c>
      <c r="J14" s="6">
        <v>395.85300000000001</v>
      </c>
      <c r="K14" s="6">
        <v>387.65800000000002</v>
      </c>
      <c r="L14" s="6">
        <v>404.65</v>
      </c>
    </row>
    <row r="15" spans="1:12" x14ac:dyDescent="0.3">
      <c r="A15" s="5" t="s">
        <v>28</v>
      </c>
      <c r="B15" s="5" t="s">
        <v>14</v>
      </c>
      <c r="C15" s="6">
        <v>448.096</v>
      </c>
      <c r="D15" s="6">
        <v>444.572</v>
      </c>
      <c r="E15" s="6">
        <v>450.79300000000001</v>
      </c>
      <c r="F15" s="6">
        <v>460.959</v>
      </c>
      <c r="G15" s="6">
        <v>456.46499999999997</v>
      </c>
      <c r="H15" s="6">
        <v>434.209</v>
      </c>
      <c r="I15" s="6">
        <v>609.08500000000004</v>
      </c>
      <c r="J15" s="6">
        <v>472.02600000000001</v>
      </c>
      <c r="K15" s="6">
        <v>434.209</v>
      </c>
      <c r="L15" s="6">
        <v>609.08500000000004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CA36-2995-464C-8B95-6EFBA88DD90D}">
  <dimension ref="A1:A15"/>
  <sheetViews>
    <sheetView workbookViewId="0"/>
  </sheetViews>
  <sheetFormatPr defaultRowHeight="14.4" x14ac:dyDescent="0.3"/>
  <cols>
    <col min="1" max="1" width="120.77734375" customWidth="1"/>
  </cols>
  <sheetData>
    <row r="1" spans="1:1" ht="17.399999999999999" x14ac:dyDescent="0.35">
      <c r="A1" s="11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Raw samples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Nomonjon Matlubov</dc:creator>
  <cp:lastModifiedBy>Nomonjon Matlubov</cp:lastModifiedBy>
  <dcterms:created xsi:type="dcterms:W3CDTF">2026-07-28T08:12:47Z</dcterms:created>
  <dcterms:modified xsi:type="dcterms:W3CDTF">2026-07-28T08:12:52Z</dcterms:modified>
</cp:coreProperties>
</file>